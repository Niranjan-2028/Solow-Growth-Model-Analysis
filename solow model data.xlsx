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8d5cf810b1b79/Documents/"/>
    </mc:Choice>
  </mc:AlternateContent>
  <xr:revisionPtr revIDLastSave="87" documentId="8_{B0AF9918-6528-4BE3-B8D0-BB6460C08733}" xr6:coauthVersionLast="47" xr6:coauthVersionMax="47" xr10:uidLastSave="{4A5A1F58-82FC-42EF-8062-06CECAA02B3A}"/>
  <bookViews>
    <workbookView xWindow="-108" yWindow="-108" windowWidth="23256" windowHeight="13896" xr2:uid="{E9280A9A-2C0F-4AD3-8E41-2F4559099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 s="1"/>
  <c r="G30" i="1"/>
  <c r="I30" i="1" s="1"/>
  <c r="G31" i="1"/>
  <c r="G32" i="1"/>
  <c r="G33" i="1"/>
  <c r="G34" i="1"/>
  <c r="G35" i="1"/>
  <c r="F33" i="1"/>
  <c r="I33" i="1" s="1"/>
  <c r="D3" i="1"/>
  <c r="F3" i="1" s="1"/>
  <c r="I3" i="1" s="1"/>
  <c r="D4" i="1"/>
  <c r="F4" i="1" s="1"/>
  <c r="I4" i="1" s="1"/>
  <c r="D5" i="1"/>
  <c r="F5" i="1" s="1"/>
  <c r="I5" i="1" s="1"/>
  <c r="D6" i="1"/>
  <c r="F6" i="1" s="1"/>
  <c r="D7" i="1"/>
  <c r="F7" i="1" s="1"/>
  <c r="D8" i="1"/>
  <c r="F8" i="1" s="1"/>
  <c r="I8" i="1" s="1"/>
  <c r="D9" i="1"/>
  <c r="F9" i="1" s="1"/>
  <c r="I9" i="1" s="1"/>
  <c r="D10" i="1"/>
  <c r="F10" i="1" s="1"/>
  <c r="D11" i="1"/>
  <c r="F11" i="1" s="1"/>
  <c r="D12" i="1"/>
  <c r="F12" i="1" s="1"/>
  <c r="I12" i="1" s="1"/>
  <c r="D13" i="1"/>
  <c r="F13" i="1" s="1"/>
  <c r="D14" i="1"/>
  <c r="F14" i="1" s="1"/>
  <c r="D15" i="1"/>
  <c r="F15" i="1" s="1"/>
  <c r="I15" i="1" s="1"/>
  <c r="D16" i="1"/>
  <c r="F16" i="1" s="1"/>
  <c r="I16" i="1" s="1"/>
  <c r="D17" i="1"/>
  <c r="F17" i="1" s="1"/>
  <c r="I17" i="1" s="1"/>
  <c r="D18" i="1"/>
  <c r="F18" i="1" s="1"/>
  <c r="I18" i="1" s="1"/>
  <c r="D19" i="1"/>
  <c r="F19" i="1" s="1"/>
  <c r="I19" i="1" s="1"/>
  <c r="D20" i="1"/>
  <c r="F20" i="1" s="1"/>
  <c r="I20" i="1" s="1"/>
  <c r="D21" i="1"/>
  <c r="F21" i="1" s="1"/>
  <c r="I21" i="1" s="1"/>
  <c r="D22" i="1"/>
  <c r="F22" i="1" s="1"/>
  <c r="D23" i="1"/>
  <c r="F23" i="1" s="1"/>
  <c r="D24" i="1"/>
  <c r="F24" i="1" s="1"/>
  <c r="I24" i="1" s="1"/>
  <c r="D25" i="1"/>
  <c r="F25" i="1" s="1"/>
  <c r="I25" i="1" s="1"/>
  <c r="D26" i="1"/>
  <c r="F26" i="1" s="1"/>
  <c r="D27" i="1"/>
  <c r="F27" i="1" s="1"/>
  <c r="D28" i="1"/>
  <c r="F28" i="1" s="1"/>
  <c r="I28" i="1" s="1"/>
  <c r="D29" i="1"/>
  <c r="F29" i="1" s="1"/>
  <c r="D30" i="1"/>
  <c r="F30" i="1" s="1"/>
  <c r="D31" i="1"/>
  <c r="F31" i="1" s="1"/>
  <c r="D32" i="1"/>
  <c r="F32" i="1" s="1"/>
  <c r="I32" i="1" s="1"/>
  <c r="D33" i="1"/>
  <c r="D34" i="1"/>
  <c r="F34" i="1" s="1"/>
  <c r="I34" i="1" s="1"/>
  <c r="D35" i="1"/>
  <c r="F35" i="1" s="1"/>
  <c r="I35" i="1" s="1"/>
  <c r="D2" i="1"/>
  <c r="I14" i="1" l="1"/>
  <c r="I13" i="1"/>
  <c r="I10" i="1"/>
  <c r="I23" i="1"/>
  <c r="I7" i="1"/>
  <c r="I27" i="1"/>
  <c r="I22" i="1"/>
  <c r="I6" i="1"/>
  <c r="I11" i="1"/>
  <c r="I26" i="1"/>
  <c r="F2" i="1"/>
  <c r="I2" i="1" s="1"/>
  <c r="H2" i="1" l="1"/>
  <c r="J2" i="1" l="1"/>
  <c r="H3" i="1" l="1"/>
  <c r="J3" i="1" s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J34" i="1"/>
  <c r="H35" i="1"/>
  <c r="J35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4" i="1"/>
  <c r="J5" i="1"/>
  <c r="J8" i="1"/>
  <c r="J12" i="1"/>
  <c r="J6" i="1"/>
  <c r="J7" i="1"/>
  <c r="J11" i="1"/>
  <c r="J10" i="1"/>
  <c r="J9" i="1"/>
</calcChain>
</file>

<file path=xl/sharedStrings.xml><?xml version="1.0" encoding="utf-8"?>
<sst xmlns="http://schemas.openxmlformats.org/spreadsheetml/2006/main" count="46" uniqueCount="46">
  <si>
    <t>Year</t>
  </si>
  <si>
    <t>Labour Force</t>
  </si>
  <si>
    <t>Output Per Worker</t>
  </si>
  <si>
    <t>Gross domestic savings (% of GDP)</t>
  </si>
  <si>
    <t>Labour Growth</t>
  </si>
  <si>
    <t>Capital Per worker</t>
  </si>
  <si>
    <t>Depreciation</t>
  </si>
  <si>
    <t>Steady State K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</si>
  <si>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</si>
  <si>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</si>
  <si>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</si>
  <si>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</si>
  <si>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</si>
  <si>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</si>
  <si>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</si>
  <si>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</si>
  <si>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</si>
  <si>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</si>
  <si>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</si>
  <si>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</si>
  <si>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</si>
  <si>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</si>
  <si>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</si>
  <si>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</si>
  <si>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</si>
  <si>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</si>
  <si>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</si>
  <si>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</si>
  <si>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</si>
  <si>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</si>
  <si>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</si>
  <si>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</si>
  <si>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</si>
  <si>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</si>
  <si>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</si>
  <si>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</si>
  <si>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</si>
  <si>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</si>
  <si>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</si>
  <si>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</si>
  <si>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</si>
  <si>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</si>
  <si>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GDP (Constant 2015 US$)</t>
  </si>
  <si>
    <t>Investment Per worker(Constant 2015 US$)</t>
  </si>
  <si>
    <t>GCF(Constant 2015 US$)</t>
  </si>
  <si>
    <t>Investment Per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</si>
</sst>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</a:t>
            </a:r>
          </a:p>
        </c:rich>
      </c:tx>
      <c:layout>
        <c:manualLayout>
          <c:xMode val="edge"/>
          <c:yMode val="edge"/>
          <c:x val="0.46478727373071232"/>
          <c:y val="6.18506979533989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695485523075218E-2"/>
          <c:y val="6.3782818886985934E-2"/>
          <c:w val="0.96827852182278173"/>
          <c:h val="0.81727594508202817"/>
        </c:manualLayout>
      </c:layout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Investment Per Worker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Sheet1!$H$1:$H$35</c:f>
              <c:strCache>
                <c:ptCount val="35"/>
                <c:pt idx="0">
                  <c:v>Capital Per worker</c:v>
                </c:pt>
                <c:pt idx="1">
                  <c:v>6520.288782</c:v>
                </c:pt>
                <c:pt idx="2">
                  <c:v>6383.367075</c:v>
                </c:pt>
                <c:pt idx="3">
                  <c:v>6268.405537</c:v>
                </c:pt>
                <c:pt idx="4">
                  <c:v>6197.316488</c:v>
                </c:pt>
                <c:pt idx="5">
                  <c:v>6133.020457</c:v>
                </c:pt>
                <c:pt idx="6">
                  <c:v>6078.675102</c:v>
                </c:pt>
                <c:pt idx="7">
                  <c:v>6031.761403</c:v>
                </c:pt>
                <c:pt idx="8">
                  <c:v>5988.029582</c:v>
                </c:pt>
                <c:pt idx="9">
                  <c:v>5964.103074</c:v>
                </c:pt>
                <c:pt idx="10">
                  <c:v>5956.989109</c:v>
                </c:pt>
                <c:pt idx="11">
                  <c:v>6008.881552</c:v>
                </c:pt>
                <c:pt idx="12">
                  <c:v>6100.744737</c:v>
                </c:pt>
                <c:pt idx="13">
                  <c:v>6262.606149</c:v>
                </c:pt>
                <c:pt idx="14">
                  <c:v>6529.994569</c:v>
                </c:pt>
                <c:pt idx="15">
                  <c:v>6847.63186</c:v>
                </c:pt>
                <c:pt idx="16">
                  <c:v>7344.284807</c:v>
                </c:pt>
                <c:pt idx="17">
                  <c:v>7886.100985</c:v>
                </c:pt>
                <c:pt idx="18">
                  <c:v>8382.45358</c:v>
                </c:pt>
                <c:pt idx="19">
                  <c:v>8911.475346</c:v>
                </c:pt>
                <c:pt idx="20">
                  <c:v>9541.55993</c:v>
                </c:pt>
                <c:pt idx="21">
                  <c:v>10096.49797</c:v>
                </c:pt>
                <c:pt idx="22">
                  <c:v>10677.92913</c:v>
                </c:pt>
                <c:pt idx="23">
                  <c:v>11156.44805</c:v>
                </c:pt>
                <c:pt idx="24">
                  <c:v>11652.13068</c:v>
                </c:pt>
                <c:pt idx="25">
                  <c:v>12165.52106</c:v>
                </c:pt>
                <c:pt idx="26">
                  <c:v>12722.63484</c:v>
                </c:pt>
                <c:pt idx="27">
                  <c:v>13321.50047</c:v>
                </c:pt>
                <c:pt idx="28">
                  <c:v>13935.93378</c:v>
                </c:pt>
                <c:pt idx="29">
                  <c:v>14472.32855</c:v>
                </c:pt>
                <c:pt idx="30">
                  <c:v>15015.7171</c:v>
                </c:pt>
                <c:pt idx="31">
                  <c:v>15205.31577</c:v>
                </c:pt>
                <c:pt idx="32">
                  <c:v>15411.70176</c:v>
                </c:pt>
                <c:pt idx="33">
                  <c:v>15725.23139</c:v>
                </c:pt>
                <c:pt idx="34">
                  <c:v>16067.93008</c:v>
                </c:pt>
              </c:strCache>
            </c:strRef>
          </c:cat>
          <c:val>
            <c:numRef>
              <c:f>Sheet1!$L$2:$L$35</c:f>
              <c:numCache>
                <c:formatCode>General</c:formatCode>
                <c:ptCount val="34"/>
                <c:pt idx="0">
                  <c:v>273.9669510284902</c:v>
                </c:pt>
                <c:pt idx="1">
                  <c:v>301.59787706410413</c:v>
                </c:pt>
                <c:pt idx="2">
                  <c:v>300.82280977850007</c:v>
                </c:pt>
                <c:pt idx="3">
                  <c:v>350.48826546679692</c:v>
                </c:pt>
                <c:pt idx="4">
                  <c:v>366.43742036445764</c:v>
                </c:pt>
                <c:pt idx="5">
                  <c:v>358.54264737667978</c:v>
                </c:pt>
                <c:pt idx="6">
                  <c:v>399.39116081346322</c:v>
                </c:pt>
                <c:pt idx="7">
                  <c:v>401.9283345461522</c:v>
                </c:pt>
                <c:pt idx="8">
                  <c:v>458.52166940875134</c:v>
                </c:pt>
                <c:pt idx="9">
                  <c:v>420.21578676902436</c:v>
                </c:pt>
                <c:pt idx="10">
                  <c:v>429.80645389297547</c:v>
                </c:pt>
                <c:pt idx="11">
                  <c:v>452.50704366349396</c:v>
                </c:pt>
                <c:pt idx="12">
                  <c:v>512.87231660316456</c:v>
                </c:pt>
                <c:pt idx="13">
                  <c:v>628.64915147365298</c:v>
                </c:pt>
                <c:pt idx="14">
                  <c:v>717.70975577948013</c:v>
                </c:pt>
                <c:pt idx="15">
                  <c:v>824.28030650582116</c:v>
                </c:pt>
                <c:pt idx="16">
                  <c:v>962.3864178605445</c:v>
                </c:pt>
                <c:pt idx="17">
                  <c:v>932.75349030592031</c:v>
                </c:pt>
                <c:pt idx="18">
                  <c:v>1053.9201932754981</c:v>
                </c:pt>
                <c:pt idx="19">
                  <c:v>1209.4581675342538</c:v>
                </c:pt>
                <c:pt idx="20">
                  <c:v>1263.9635060800808</c:v>
                </c:pt>
                <c:pt idx="21">
                  <c:v>1306.5836438098836</c:v>
                </c:pt>
                <c:pt idx="22">
                  <c:v>1236.4282569834304</c:v>
                </c:pt>
                <c:pt idx="23">
                  <c:v>1309.3551251588401</c:v>
                </c:pt>
                <c:pt idx="24">
                  <c:v>1349.4785902785784</c:v>
                </c:pt>
                <c:pt idx="25">
                  <c:v>1376.9512162817607</c:v>
                </c:pt>
                <c:pt idx="26">
                  <c:v>1502.4364047484603</c:v>
                </c:pt>
                <c:pt idx="27">
                  <c:v>1642.9266720468722</c:v>
                </c:pt>
                <c:pt idx="28">
                  <c:v>1579.0592728827146</c:v>
                </c:pt>
                <c:pt idx="29">
                  <c:v>1459.1577931406982</c:v>
                </c:pt>
                <c:pt idx="30">
                  <c:v>1710.0770354128167</c:v>
                </c:pt>
                <c:pt idx="31">
                  <c:v>1779.1655365523873</c:v>
                </c:pt>
                <c:pt idx="32">
                  <c:v>1898.5798006373464</c:v>
                </c:pt>
                <c:pt idx="33">
                  <c:v>1961.9842742982298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9-4E2D-999A-19F44592C6A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Output Per Worker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Sheet1!$H$1:$H$35</c:f>
              <c:strCache>
                <c:ptCount val="35"/>
                <c:pt idx="0">
                  <c:v>Capital Per worker</c:v>
                </c:pt>
                <c:pt idx="1">
                  <c:v>6520.288782</c:v>
                </c:pt>
                <c:pt idx="2">
                  <c:v>6383.367075</c:v>
                </c:pt>
                <c:pt idx="3">
                  <c:v>6268.405537</c:v>
                </c:pt>
                <c:pt idx="4">
                  <c:v>6197.316488</c:v>
                </c:pt>
                <c:pt idx="5">
                  <c:v>6133.020457</c:v>
                </c:pt>
                <c:pt idx="6">
                  <c:v>6078.675102</c:v>
                </c:pt>
                <c:pt idx="7">
                  <c:v>6031.761403</c:v>
                </c:pt>
                <c:pt idx="8">
                  <c:v>5988.029582</c:v>
                </c:pt>
                <c:pt idx="9">
                  <c:v>5964.103074</c:v>
                </c:pt>
                <c:pt idx="10">
                  <c:v>5956.989109</c:v>
                </c:pt>
                <c:pt idx="11">
                  <c:v>6008.881552</c:v>
                </c:pt>
                <c:pt idx="12">
                  <c:v>6100.744737</c:v>
                </c:pt>
                <c:pt idx="13">
                  <c:v>6262.606149</c:v>
                </c:pt>
                <c:pt idx="14">
                  <c:v>6529.994569</c:v>
                </c:pt>
                <c:pt idx="15">
                  <c:v>6847.63186</c:v>
                </c:pt>
                <c:pt idx="16">
                  <c:v>7344.284807</c:v>
                </c:pt>
                <c:pt idx="17">
                  <c:v>7886.100985</c:v>
                </c:pt>
                <c:pt idx="18">
                  <c:v>8382.45358</c:v>
                </c:pt>
                <c:pt idx="19">
                  <c:v>8911.475346</c:v>
                </c:pt>
                <c:pt idx="20">
                  <c:v>9541.55993</c:v>
                </c:pt>
                <c:pt idx="21">
                  <c:v>10096.49797</c:v>
                </c:pt>
                <c:pt idx="22">
                  <c:v>10677.92913</c:v>
                </c:pt>
                <c:pt idx="23">
                  <c:v>11156.44805</c:v>
                </c:pt>
                <c:pt idx="24">
                  <c:v>11652.13068</c:v>
                </c:pt>
                <c:pt idx="25">
                  <c:v>12165.52106</c:v>
                </c:pt>
                <c:pt idx="26">
                  <c:v>12722.63484</c:v>
                </c:pt>
                <c:pt idx="27">
                  <c:v>13321.50047</c:v>
                </c:pt>
                <c:pt idx="28">
                  <c:v>13935.93378</c:v>
                </c:pt>
                <c:pt idx="29">
                  <c:v>14472.32855</c:v>
                </c:pt>
                <c:pt idx="30">
                  <c:v>15015.7171</c:v>
                </c:pt>
                <c:pt idx="31">
                  <c:v>15205.31577</c:v>
                </c:pt>
                <c:pt idx="32">
                  <c:v>15411.70176</c:v>
                </c:pt>
                <c:pt idx="33">
                  <c:v>15725.23139</c:v>
                </c:pt>
                <c:pt idx="34">
                  <c:v>16067.93008</c:v>
                </c:pt>
              </c:strCache>
            </c:strRef>
          </c:cat>
          <c:val>
            <c:numRef>
              <c:f>Sheet1!$D$2:$D$35</c:f>
              <c:numCache>
                <c:formatCode>General</c:formatCode>
                <c:ptCount val="34"/>
                <c:pt idx="0">
                  <c:v>1488.4329289102966</c:v>
                </c:pt>
                <c:pt idx="1">
                  <c:v>1530.5633826698647</c:v>
                </c:pt>
                <c:pt idx="2">
                  <c:v>1563.1536062966284</c:v>
                </c:pt>
                <c:pt idx="3">
                  <c:v>1625.8393358663081</c:v>
                </c:pt>
                <c:pt idx="4">
                  <c:v>1696.5755447226047</c:v>
                </c:pt>
                <c:pt idx="5">
                  <c:v>1769.2631744558016</c:v>
                </c:pt>
                <c:pt idx="6">
                  <c:v>1785.0328636906754</c:v>
                </c:pt>
                <c:pt idx="7">
                  <c:v>1838.00598726573</c:v>
                </c:pt>
                <c:pt idx="8">
                  <c:v>1940.1420794380324</c:v>
                </c:pt>
                <c:pt idx="9">
                  <c:v>1954.3450902270802</c:v>
                </c:pt>
                <c:pt idx="10">
                  <c:v>2003.8736502977954</c:v>
                </c:pt>
                <c:pt idx="11">
                  <c:v>2036.0306966423941</c:v>
                </c:pt>
                <c:pt idx="12">
                  <c:v>2151.1962041750762</c:v>
                </c:pt>
                <c:pt idx="13">
                  <c:v>2274.3907056974845</c:v>
                </c:pt>
                <c:pt idx="14">
                  <c:v>2405.9943449827338</c:v>
                </c:pt>
                <c:pt idx="15">
                  <c:v>2584.1461940524837</c:v>
                </c:pt>
                <c:pt idx="16">
                  <c:v>2766.3102500977725</c:v>
                </c:pt>
                <c:pt idx="17">
                  <c:v>2837.4522899608892</c:v>
                </c:pt>
                <c:pt idx="18">
                  <c:v>3044.6187598596516</c:v>
                </c:pt>
                <c:pt idx="19">
                  <c:v>3284.9076012724022</c:v>
                </c:pt>
                <c:pt idx="20">
                  <c:v>3425.3588576080856</c:v>
                </c:pt>
                <c:pt idx="21">
                  <c:v>3580.3215969061239</c:v>
                </c:pt>
                <c:pt idx="22">
                  <c:v>3743.1944118168553</c:v>
                </c:pt>
                <c:pt idx="23">
                  <c:v>3953.543912627109</c:v>
                </c:pt>
                <c:pt idx="24">
                  <c:v>4201.7932229444996</c:v>
                </c:pt>
                <c:pt idx="25">
                  <c:v>4476.8052123638599</c:v>
                </c:pt>
                <c:pt idx="26">
                  <c:v>4706.697017393647</c:v>
                </c:pt>
                <c:pt idx="27">
                  <c:v>4938.0316295024177</c:v>
                </c:pt>
                <c:pt idx="28">
                  <c:v>5060.8581596748918</c:v>
                </c:pt>
                <c:pt idx="29">
                  <c:v>4758.1136254137218</c:v>
                </c:pt>
                <c:pt idx="30">
                  <c:v>5050.1203411329971</c:v>
                </c:pt>
                <c:pt idx="31">
                  <c:v>5254.8681044562809</c:v>
                </c:pt>
                <c:pt idx="32">
                  <c:v>5539.9364273376004</c:v>
                </c:pt>
                <c:pt idx="33">
                  <c:v>5715.3918355563701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F9-4E2D-999A-19F44592C6A5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Depreciation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Sheet1!$H$1:$H$35</c:f>
              <c:strCache>
                <c:ptCount val="35"/>
                <c:pt idx="0">
                  <c:v>Capital Per worker</c:v>
                </c:pt>
                <c:pt idx="1">
                  <c:v>6520.288782</c:v>
                </c:pt>
                <c:pt idx="2">
                  <c:v>6383.367075</c:v>
                </c:pt>
                <c:pt idx="3">
                  <c:v>6268.405537</c:v>
                </c:pt>
                <c:pt idx="4">
                  <c:v>6197.316488</c:v>
                </c:pt>
                <c:pt idx="5">
                  <c:v>6133.020457</c:v>
                </c:pt>
                <c:pt idx="6">
                  <c:v>6078.675102</c:v>
                </c:pt>
                <c:pt idx="7">
                  <c:v>6031.761403</c:v>
                </c:pt>
                <c:pt idx="8">
                  <c:v>5988.029582</c:v>
                </c:pt>
                <c:pt idx="9">
                  <c:v>5964.103074</c:v>
                </c:pt>
                <c:pt idx="10">
                  <c:v>5956.989109</c:v>
                </c:pt>
                <c:pt idx="11">
                  <c:v>6008.881552</c:v>
                </c:pt>
                <c:pt idx="12">
                  <c:v>6100.744737</c:v>
                </c:pt>
                <c:pt idx="13">
                  <c:v>6262.606149</c:v>
                </c:pt>
                <c:pt idx="14">
                  <c:v>6529.994569</c:v>
                </c:pt>
                <c:pt idx="15">
                  <c:v>6847.63186</c:v>
                </c:pt>
                <c:pt idx="16">
                  <c:v>7344.284807</c:v>
                </c:pt>
                <c:pt idx="17">
                  <c:v>7886.100985</c:v>
                </c:pt>
                <c:pt idx="18">
                  <c:v>8382.45358</c:v>
                </c:pt>
                <c:pt idx="19">
                  <c:v>8911.475346</c:v>
                </c:pt>
                <c:pt idx="20">
                  <c:v>9541.55993</c:v>
                </c:pt>
                <c:pt idx="21">
                  <c:v>10096.49797</c:v>
                </c:pt>
                <c:pt idx="22">
                  <c:v>10677.92913</c:v>
                </c:pt>
                <c:pt idx="23">
                  <c:v>11156.44805</c:v>
                </c:pt>
                <c:pt idx="24">
                  <c:v>11652.13068</c:v>
                </c:pt>
                <c:pt idx="25">
                  <c:v>12165.52106</c:v>
                </c:pt>
                <c:pt idx="26">
                  <c:v>12722.63484</c:v>
                </c:pt>
                <c:pt idx="27">
                  <c:v>13321.50047</c:v>
                </c:pt>
                <c:pt idx="28">
                  <c:v>13935.93378</c:v>
                </c:pt>
                <c:pt idx="29">
                  <c:v>14472.32855</c:v>
                </c:pt>
                <c:pt idx="30">
                  <c:v>15015.7171</c:v>
                </c:pt>
                <c:pt idx="31">
                  <c:v>15205.31577</c:v>
                </c:pt>
                <c:pt idx="32">
                  <c:v>15411.70176</c:v>
                </c:pt>
                <c:pt idx="33">
                  <c:v>15725.23139</c:v>
                </c:pt>
                <c:pt idx="34">
                  <c:v>16067.93008</c:v>
                </c:pt>
              </c:strCache>
            </c:strRef>
          </c:cat>
          <c:val>
            <c:numRef>
              <c:f>Sheet1!$J$2:$J$35</c:f>
              <c:numCache>
                <c:formatCode>General</c:formatCode>
                <c:ptCount val="34"/>
                <c:pt idx="0">
                  <c:v>326.01443908087828</c:v>
                </c:pt>
                <c:pt idx="1">
                  <c:v>483.78748426459026</c:v>
                </c:pt>
                <c:pt idx="2">
                  <c:v>474.31927728406214</c:v>
                </c:pt>
                <c:pt idx="3">
                  <c:v>467.68614348358221</c:v>
                </c:pt>
                <c:pt idx="4">
                  <c:v>496.12041430139726</c:v>
                </c:pt>
                <c:pt idx="5">
                  <c:v>494.25737659810443</c:v>
                </c:pt>
                <c:pt idx="6">
                  <c:v>490.41859827117491</c:v>
                </c:pt>
                <c:pt idx="7">
                  <c:v>486.47216318673378</c:v>
                </c:pt>
                <c:pt idx="8">
                  <c:v>484.02999770324243</c:v>
                </c:pt>
                <c:pt idx="9">
                  <c:v>481.70221217429412</c:v>
                </c:pt>
                <c:pt idx="10">
                  <c:v>434.62806761284367</c:v>
                </c:pt>
                <c:pt idx="11">
                  <c:v>437.08764196161377</c:v>
                </c:pt>
                <c:pt idx="12">
                  <c:v>443.7692014815658</c:v>
                </c:pt>
                <c:pt idx="13">
                  <c:v>462.1401049703274</c:v>
                </c:pt>
                <c:pt idx="14">
                  <c:v>480.7181137919203</c:v>
                </c:pt>
                <c:pt idx="15">
                  <c:v>412.0872166646738</c:v>
                </c:pt>
                <c:pt idx="16">
                  <c:v>439.35456546059692</c:v>
                </c:pt>
                <c:pt idx="17">
                  <c:v>461.20730629548382</c:v>
                </c:pt>
                <c:pt idx="18">
                  <c:v>492.14425111408246</c:v>
                </c:pt>
                <c:pt idx="19">
                  <c:v>530.61162275252912</c:v>
                </c:pt>
                <c:pt idx="20">
                  <c:v>598.32529300992871</c:v>
                </c:pt>
                <c:pt idx="21">
                  <c:v>629.14849442726927</c:v>
                </c:pt>
                <c:pt idx="22">
                  <c:v>753.84836576890825</c:v>
                </c:pt>
                <c:pt idx="23">
                  <c:v>780.16071059604576</c:v>
                </c:pt>
                <c:pt idx="24">
                  <c:v>804.82777944118675</c:v>
                </c:pt>
                <c:pt idx="25">
                  <c:v>840.46693133037229</c:v>
                </c:pt>
                <c:pt idx="26">
                  <c:v>876.43716251646856</c:v>
                </c:pt>
                <c:pt idx="27">
                  <c:v>901.20210417606665</c:v>
                </c:pt>
                <c:pt idx="28">
                  <c:v>919.0633974699324</c:v>
                </c:pt>
                <c:pt idx="29">
                  <c:v>783.423532211831</c:v>
                </c:pt>
                <c:pt idx="30">
                  <c:v>1269.2105213531588</c:v>
                </c:pt>
                <c:pt idx="31">
                  <c:v>1297.1310301397311</c:v>
                </c:pt>
                <c:pt idx="32">
                  <c:v>1347.9872648423075</c:v>
                </c:pt>
                <c:pt idx="33">
                  <c:v>1321.6690204088759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F9-4E2D-999A-19F44592C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333952"/>
        <c:axId val="342334432"/>
      </c:lineChart>
      <c:catAx>
        <c:axId val="3423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34432"/>
        <c:crosses val="autoZero"/>
        <c:auto val="1"/>
        <c:lblAlgn val="ctr"/>
        <c:lblOffset val="100"/>
        <c:noMultiLvlLbl val="0"/>
      </c:catAx>
      <c:valAx>
        <c:axId val="3423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95674580008510612"/>
          <c:w val="1"/>
          <c:h val="4.3254269266127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68554072085146E-2"/>
          <c:y val="2.3639573831110219E-2"/>
          <c:w val="0.95541255103540634"/>
          <c:h val="0.86435555002028908"/>
        </c:manualLayout>
      </c:layout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Capital Per worker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Sheet1!$A$1:$A$35</c:f>
              <c:strCache>
                <c:ptCount val="35"/>
                <c:pt idx="0">
                  <c:v>Year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Sheet1!$H$2:$H$35</c:f>
              <c:numCache>
                <c:formatCode>General</c:formatCode>
                <c:ptCount val="34"/>
                <c:pt idx="0">
                  <c:v>6520.2887816175653</c:v>
                </c:pt>
                <c:pt idx="1">
                  <c:v>6383.3670751736454</c:v>
                </c:pt>
                <c:pt idx="2">
                  <c:v>6268.4055371090399</c:v>
                </c:pt>
                <c:pt idx="3">
                  <c:v>6197.316488147274</c:v>
                </c:pt>
                <c:pt idx="4">
                  <c:v>6133.0204566023449</c:v>
                </c:pt>
                <c:pt idx="5">
                  <c:v>6078.6751020159954</c:v>
                </c:pt>
                <c:pt idx="6">
                  <c:v>6031.7614026654765</c:v>
                </c:pt>
                <c:pt idx="7">
                  <c:v>5988.0295815228747</c:v>
                </c:pt>
                <c:pt idx="8">
                  <c:v>5964.1030740550905</c:v>
                </c:pt>
                <c:pt idx="9">
                  <c:v>5956.9891085242562</c:v>
                </c:pt>
                <c:pt idx="10">
                  <c:v>6008.8815518544934</c:v>
                </c:pt>
                <c:pt idx="11">
                  <c:v>6100.7447365755443</c:v>
                </c:pt>
                <c:pt idx="12">
                  <c:v>6262.6061490619741</c:v>
                </c:pt>
                <c:pt idx="13">
                  <c:v>6529.9945694864819</c:v>
                </c:pt>
                <c:pt idx="14">
                  <c:v>6847.631860045658</c:v>
                </c:pt>
                <c:pt idx="15">
                  <c:v>7344.2848072667421</c:v>
                </c:pt>
                <c:pt idx="16">
                  <c:v>7886.1009853538635</c:v>
                </c:pt>
                <c:pt idx="17">
                  <c:v>8382.4535798364632</c:v>
                </c:pt>
                <c:pt idx="18">
                  <c:v>8911.4753457255956</c:v>
                </c:pt>
                <c:pt idx="19">
                  <c:v>9541.5599295370248</c:v>
                </c:pt>
                <c:pt idx="20">
                  <c:v>10096.497970329332</c:v>
                </c:pt>
                <c:pt idx="21">
                  <c:v>10677.92912969246</c:v>
                </c:pt>
                <c:pt idx="22">
                  <c:v>11156.448052865751</c:v>
                </c:pt>
                <c:pt idx="23">
                  <c:v>11652.130677761897</c:v>
                </c:pt>
                <c:pt idx="24">
                  <c:v>12165.521060762563</c:v>
                </c:pt>
                <c:pt idx="25">
                  <c:v>12722.634843432794</c:v>
                </c:pt>
                <c:pt idx="26">
                  <c:v>13321.500471000249</c:v>
                </c:pt>
                <c:pt idx="27">
                  <c:v>13935.93377980371</c:v>
                </c:pt>
                <c:pt idx="28">
                  <c:v>14472.328552212355</c:v>
                </c:pt>
                <c:pt idx="29">
                  <c:v>15015.717097000201</c:v>
                </c:pt>
                <c:pt idx="30">
                  <c:v>15205.315774468629</c:v>
                </c:pt>
                <c:pt idx="31">
                  <c:v>15411.701761144504</c:v>
                </c:pt>
                <c:pt idx="32">
                  <c:v>15725.23139382561</c:v>
                </c:pt>
                <c:pt idx="33">
                  <c:v>16067.930079999698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E-4F23-914E-E982FFE5AAD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Steady State 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Sheet1!$A$1:$A$35</c:f>
              <c:strCache>
                <c:ptCount val="35"/>
                <c:pt idx="0">
                  <c:v>Year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Sheet1!$I$2:$I$35</c:f>
              <c:numCache>
                <c:formatCode>General</c:formatCode>
                <c:ptCount val="34"/>
                <c:pt idx="0">
                  <c:v>6520.2887816175653</c:v>
                </c:pt>
                <c:pt idx="1">
                  <c:v>4713.6659539945767</c:v>
                </c:pt>
                <c:pt idx="2">
                  <c:v>4864.083385324423</c:v>
                </c:pt>
                <c:pt idx="3">
                  <c:v>5326.4034243760889</c:v>
                </c:pt>
                <c:pt idx="4">
                  <c:v>5402.4915517481832</c:v>
                </c:pt>
                <c:pt idx="5">
                  <c:v>5464.6485324279347</c:v>
                </c:pt>
                <c:pt idx="6">
                  <c:v>5501.6736546886614</c:v>
                </c:pt>
                <c:pt idx="7">
                  <c:v>5493.4624855386583</c:v>
                </c:pt>
                <c:pt idx="8">
                  <c:v>5693.2128193033132</c:v>
                </c:pt>
                <c:pt idx="9">
                  <c:v>5876.1279431244848</c:v>
                </c:pt>
                <c:pt idx="10">
                  <c:v>6674.4198697733773</c:v>
                </c:pt>
                <c:pt idx="11">
                  <c:v>7291.0817031944816</c:v>
                </c:pt>
                <c:pt idx="12">
                  <c:v>8384.9822946330278</c:v>
                </c:pt>
                <c:pt idx="13">
                  <c:v>10040.778427418369</c:v>
                </c:pt>
                <c:pt idx="14">
                  <c:v>11054.607161291337</c:v>
                </c:pt>
                <c:pt idx="15">
                  <c:v>15699.06074998421</c:v>
                </c:pt>
                <c:pt idx="16">
                  <c:v>17069.498636361946</c:v>
                </c:pt>
                <c:pt idx="17">
                  <c:v>16907.321000060558</c:v>
                </c:pt>
                <c:pt idx="18">
                  <c:v>17961.686525057667</c:v>
                </c:pt>
                <c:pt idx="19">
                  <c:v>20241.777132043724</c:v>
                </c:pt>
                <c:pt idx="20">
                  <c:v>18905.915520008602</c:v>
                </c:pt>
                <c:pt idx="21">
                  <c:v>19964.566905511576</c:v>
                </c:pt>
                <c:pt idx="22">
                  <c:v>17759.686882461316</c:v>
                </c:pt>
                <c:pt idx="23">
                  <c:v>18559.741555781617</c:v>
                </c:pt>
                <c:pt idx="24">
                  <c:v>19412.376628919403</c:v>
                </c:pt>
                <c:pt idx="25">
                  <c:v>20598.875139235839</c:v>
                </c:pt>
                <c:pt idx="26">
                  <c:v>21825.157055977405</c:v>
                </c:pt>
                <c:pt idx="27">
                  <c:v>22822.922919873996</c:v>
                </c:pt>
                <c:pt idx="28">
                  <c:v>22382.447264463564</c:v>
                </c:pt>
                <c:pt idx="29">
                  <c:v>24887.344602660392</c:v>
                </c:pt>
                <c:pt idx="30">
                  <c:v>17287.135205207749</c:v>
                </c:pt>
                <c:pt idx="31">
                  <c:v>17657.465326380527</c:v>
                </c:pt>
                <c:pt idx="32">
                  <c:v>19069.248201917686</c:v>
                </c:pt>
                <c:pt idx="33">
                  <c:v>19891.522986443484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E-4F23-914E-E982FFE5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064719"/>
        <c:axId val="1064061359"/>
      </c:lineChart>
      <c:catAx>
        <c:axId val="106406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61359"/>
        <c:crosses val="autoZero"/>
        <c:auto val="1"/>
        <c:lblAlgn val="ctr"/>
        <c:lblOffset val="100"/>
        <c:noMultiLvlLbl val="0"/>
      </c:catAx>
      <c:valAx>
        <c:axId val="106406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6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45317064485037E-3"/>
          <c:y val="0.94727122832037847"/>
          <c:w val="0.99574426258547932"/>
          <c:h val="5.1040496603651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212720</xdr:colOff>
      <xdr:row>0</xdr:row>
      <xdr:rowOff>99428</xdr:rowOff>
    </xdr:from>
    <xdr:to>
      <xdr:col>31</xdr:col>
      <xdr:colOff>112889</xdr:colOff>
      <xdr:row>38</xdr:row>
      <xdr:rowOff>131704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D1514-CE6C-3CC7-2003-74B9480F2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503063</xdr:colOff>
      <xdr:row>41</xdr:row>
      <xdr:rowOff>71957</xdr:rowOff>
    </xdr:from>
    <xdr:to>
      <xdr:col>10</xdr:col>
      <xdr:colOff>893704</xdr:colOff>
      <xdr:row>74</xdr:row>
      <xdr:rowOff>146476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C2D25-06C8-A2FD-B9F0-0F791329A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F0A8-F6CD-4EC1-AE34-DE06DBC7DED4}">
  <dimension ref="A1:L35"/>
  <sheetViews>
    <sheetView tabSelected="1" topLeftCell="I1" zoomScale="81" zoomScaleNormal="68" workbookViewId="0">
      <pane ySplit="1" topLeftCell="A2" activePane="bottomLeft" state="frozen"/>
      <selection pane="bottomLeft" activeCell="F36" sqref="F36"/>
    </sheetView>
  </sheetViews>
  <sheetFormatPr defaultRowHeight="14.4" x14ac:dyDescent="0.3"/>
  <cols>
    <col min="1" max="1" width="13.44140625" bestFit="1" customWidth="1"/>
    <col min="2" max="2" width="21.33203125" style="3" bestFit="1" customWidth="1"/>
    <col min="3" max="3" width="11.5546875" bestFit="1" customWidth="1"/>
    <col min="4" max="4" width="15.88671875" bestFit="1" customWidth="1"/>
    <col min="5" max="5" width="29.109375" bestFit="1" customWidth="1"/>
    <col min="6" max="6" width="35.6640625" bestFit="1" customWidth="1"/>
    <col min="7" max="7" width="12.77734375" bestFit="1" customWidth="1"/>
    <col min="8" max="8" width="15.77734375" bestFit="1" customWidth="1"/>
    <col min="9" max="9" width="12.109375" bestFit="1" customWidth="1"/>
    <col min="10" max="10" width="12" bestFit="1" customWidth="1"/>
    <col min="11" max="11" width="21" style="3" bestFit="1" customWidth="1"/>
    <col min="12" max="12" width="19.33203125" bestFit="1" customWidth="1"/>
  </cols>
  <sheetData>
    <row r="1" spans="1:12" s="1" customFormat="1" x14ac:dyDescent="0.3">
      <c r="A1" s="1" t="s">
        <v>0</v>
      </c>
      <c r="B1" s="2" t="s">
        <v>42</v>
      </c>
      <c r="C1" s="1" t="s">
        <v>1</v>
      </c>
      <c r="D1" s="1" t="s">
        <v>2</v>
      </c>
      <c r="E1" s="1" t="s">
        <v>3</v>
      </c>
      <c r="F1" s="1" t="s">
        <v>43</v>
      </c>
      <c r="G1" s="1" t="s">
        <v>4</v>
      </c>
      <c r="H1" s="1" t="s">
        <v>5</v>
      </c>
      <c r="I1" s="1" t="s">
        <v>7</v>
      </c>
      <c r="J1" s="1" t="s">
        <v>6</v>
      </c>
      <c r="K1" s="2" t="s">
        <v>44</v>
      </c>
      <c r="L1" s="1" t="s">
        <v>45</v>
      </c>
    </row>
    <row r="2" spans="1:12" x14ac:dyDescent="0.3">
      <c r="A2" t="s">
        <v>8</v>
      </c>
      <c r="B2" s="3">
        <v>470159674247.95587</v>
      </c>
      <c r="C2">
        <v>315875620</v>
      </c>
      <c r="D2">
        <f t="shared" ref="D2:D35" si="0">B2/C2</f>
        <v>1488.4329289102966</v>
      </c>
      <c r="E2">
        <v>21.903199851911246</v>
      </c>
      <c r="F2">
        <f t="shared" ref="F2:F35" si="1">(E2*D2)/100</f>
        <v>326.01443908087828</v>
      </c>
      <c r="G2">
        <v>0</v>
      </c>
      <c r="H2">
        <f>F2/(0.05+G2)</f>
        <v>6520.2887816175653</v>
      </c>
      <c r="I2">
        <f t="shared" ref="I2:I35" si="2">F2/(0.05+G2)</f>
        <v>6520.2887816175653</v>
      </c>
      <c r="J2">
        <f t="shared" ref="J2:J35" si="3">(0.05+G2)*H2</f>
        <v>326.01443908087828</v>
      </c>
      <c r="K2" s="3">
        <v>86539480515.633987</v>
      </c>
      <c r="L2">
        <f t="shared" ref="L2:L35" si="4">K2/C2</f>
        <v>273.9669510284902</v>
      </c>
    </row>
    <row r="3" spans="1:12" x14ac:dyDescent="0.3">
      <c r="A3" t="s">
        <v>9</v>
      </c>
      <c r="B3" s="3">
        <v>495935689518.4682</v>
      </c>
      <c r="C3">
        <v>324021661</v>
      </c>
      <c r="D3">
        <f t="shared" si="0"/>
        <v>1530.5633826698647</v>
      </c>
      <c r="E3">
        <v>23.340614861652416</v>
      </c>
      <c r="F3">
        <f t="shared" si="1"/>
        <v>357.24290436245241</v>
      </c>
      <c r="G3">
        <f t="shared" ref="G3:G35" si="5">(C3-C2)/C2</f>
        <v>2.5788761411849385E-2</v>
      </c>
      <c r="H3">
        <f t="shared" ref="H3:H35" si="6">(1-0.05-G3)*H2+F3</f>
        <v>6383.3670751736454</v>
      </c>
      <c r="I3">
        <f t="shared" si="2"/>
        <v>4713.6659539945767</v>
      </c>
      <c r="J3">
        <f t="shared" si="3"/>
        <v>483.78748426459026</v>
      </c>
      <c r="K3" s="3">
        <v>97724245080.384827</v>
      </c>
      <c r="L3">
        <f t="shared" si="4"/>
        <v>301.59787706410413</v>
      </c>
    </row>
    <row r="4" spans="1:12" x14ac:dyDescent="0.3">
      <c r="A4" t="s">
        <v>10</v>
      </c>
      <c r="B4" s="3">
        <v>519496484311.5415</v>
      </c>
      <c r="C4">
        <v>332338730</v>
      </c>
      <c r="D4">
        <f t="shared" si="0"/>
        <v>1563.1536062966284</v>
      </c>
      <c r="E4">
        <v>23.545777979818258</v>
      </c>
      <c r="F4">
        <f t="shared" si="1"/>
        <v>368.05667762212653</v>
      </c>
      <c r="G4">
        <f t="shared" si="5"/>
        <v>2.566825000011342E-2</v>
      </c>
      <c r="H4">
        <f t="shared" si="6"/>
        <v>6268.4055371090399</v>
      </c>
      <c r="I4">
        <f t="shared" si="2"/>
        <v>4864.083385324423</v>
      </c>
      <c r="J4">
        <f t="shared" si="3"/>
        <v>474.31927728406214</v>
      </c>
      <c r="K4" s="3">
        <v>99975070556.818298</v>
      </c>
      <c r="L4">
        <f t="shared" si="4"/>
        <v>300.82280977850007</v>
      </c>
    </row>
    <row r="5" spans="1:12" x14ac:dyDescent="0.3">
      <c r="A5" t="s">
        <v>11</v>
      </c>
      <c r="B5" s="3">
        <v>554089360749.64368</v>
      </c>
      <c r="C5">
        <v>340802039</v>
      </c>
      <c r="D5">
        <f t="shared" si="0"/>
        <v>1625.8393358663081</v>
      </c>
      <c r="E5">
        <v>24.723346618522228</v>
      </c>
      <c r="F5">
        <f t="shared" si="1"/>
        <v>401.96189446650715</v>
      </c>
      <c r="G5">
        <f t="shared" si="5"/>
        <v>2.5465912444210159E-2</v>
      </c>
      <c r="H5">
        <f t="shared" si="6"/>
        <v>6197.316488147274</v>
      </c>
      <c r="I5">
        <f t="shared" si="2"/>
        <v>5326.4034243760889</v>
      </c>
      <c r="J5">
        <f t="shared" si="3"/>
        <v>467.68614348358221</v>
      </c>
      <c r="K5" s="3">
        <v>119447115516.65767</v>
      </c>
      <c r="L5">
        <f t="shared" si="4"/>
        <v>350.48826546679692</v>
      </c>
    </row>
    <row r="6" spans="1:12" x14ac:dyDescent="0.3">
      <c r="A6" t="s">
        <v>12</v>
      </c>
      <c r="B6" s="3">
        <v>596058814154.2157</v>
      </c>
      <c r="C6">
        <v>351330547</v>
      </c>
      <c r="D6">
        <f t="shared" si="0"/>
        <v>1696.5755447226047</v>
      </c>
      <c r="E6">
        <v>25.759271602333357</v>
      </c>
      <c r="F6">
        <f t="shared" si="1"/>
        <v>437.02550250386236</v>
      </c>
      <c r="G6">
        <f t="shared" si="5"/>
        <v>3.0893324555490702E-2</v>
      </c>
      <c r="H6">
        <f t="shared" si="6"/>
        <v>6133.0204566023449</v>
      </c>
      <c r="I6">
        <f t="shared" si="2"/>
        <v>5402.4915517481832</v>
      </c>
      <c r="J6">
        <f t="shared" si="3"/>
        <v>496.12041430139726</v>
      </c>
      <c r="K6" s="3">
        <v>128740659337.91385</v>
      </c>
      <c r="L6">
        <f t="shared" si="4"/>
        <v>366.43742036445764</v>
      </c>
    </row>
    <row r="7" spans="1:12" x14ac:dyDescent="0.3">
      <c r="A7" t="s">
        <v>13</v>
      </c>
      <c r="B7" s="3">
        <v>641058406947.10889</v>
      </c>
      <c r="C7">
        <v>362330724</v>
      </c>
      <c r="D7">
        <f t="shared" si="0"/>
        <v>1769.2631744558016</v>
      </c>
      <c r="E7">
        <v>25.113892151639693</v>
      </c>
      <c r="F7">
        <f t="shared" si="1"/>
        <v>444.33084551150682</v>
      </c>
      <c r="G7">
        <f t="shared" si="5"/>
        <v>3.1310050019647165E-2</v>
      </c>
      <c r="H7">
        <f t="shared" si="6"/>
        <v>6078.6751020159954</v>
      </c>
      <c r="I7">
        <f t="shared" si="2"/>
        <v>5464.6485324279347</v>
      </c>
      <c r="J7">
        <f t="shared" si="3"/>
        <v>494.25737659810443</v>
      </c>
      <c r="K7" s="3">
        <v>129911017008.86908</v>
      </c>
      <c r="L7">
        <f t="shared" si="4"/>
        <v>358.54264737667978</v>
      </c>
    </row>
    <row r="8" spans="1:12" x14ac:dyDescent="0.3">
      <c r="A8" t="s">
        <v>14</v>
      </c>
      <c r="B8" s="3">
        <v>667020123972.21423</v>
      </c>
      <c r="C8">
        <v>373673862</v>
      </c>
      <c r="D8">
        <f t="shared" si="0"/>
        <v>1785.0328636906754</v>
      </c>
      <c r="E8">
        <v>25.059441473520653</v>
      </c>
      <c r="F8">
        <f t="shared" si="1"/>
        <v>447.31926575967452</v>
      </c>
      <c r="G8">
        <f t="shared" si="5"/>
        <v>3.1306034097180233E-2</v>
      </c>
      <c r="H8">
        <f t="shared" si="6"/>
        <v>6031.7614026654765</v>
      </c>
      <c r="I8">
        <f t="shared" si="2"/>
        <v>5501.6736546886614</v>
      </c>
      <c r="J8">
        <f t="shared" si="3"/>
        <v>490.41859827117491</v>
      </c>
      <c r="K8" s="3">
        <v>149242037509.82986</v>
      </c>
      <c r="L8">
        <f t="shared" si="4"/>
        <v>399.39116081346322</v>
      </c>
    </row>
    <row r="9" spans="1:12" x14ac:dyDescent="0.3">
      <c r="A9" t="s">
        <v>15</v>
      </c>
      <c r="B9" s="3">
        <v>708271422053.21606</v>
      </c>
      <c r="C9">
        <v>385347723</v>
      </c>
      <c r="D9">
        <f t="shared" si="0"/>
        <v>1838.00598726573</v>
      </c>
      <c r="E9">
        <v>24.281376239934897</v>
      </c>
      <c r="F9">
        <f t="shared" si="1"/>
        <v>446.29314908052174</v>
      </c>
      <c r="G9">
        <f t="shared" si="5"/>
        <v>3.1240774876568702E-2</v>
      </c>
      <c r="H9">
        <f t="shared" si="6"/>
        <v>5988.0295815228747</v>
      </c>
      <c r="I9">
        <f t="shared" si="2"/>
        <v>5493.4624855386583</v>
      </c>
      <c r="J9">
        <f t="shared" si="3"/>
        <v>486.47216318673378</v>
      </c>
      <c r="K9" s="3">
        <v>154882168526.54199</v>
      </c>
      <c r="L9">
        <f t="shared" si="4"/>
        <v>401.9283345461522</v>
      </c>
    </row>
    <row r="10" spans="1:12" x14ac:dyDescent="0.3">
      <c r="A10" t="s">
        <v>16</v>
      </c>
      <c r="B10" s="3">
        <v>770923380745.09668</v>
      </c>
      <c r="C10">
        <v>397354085</v>
      </c>
      <c r="D10">
        <f t="shared" si="0"/>
        <v>1940.1420794380324</v>
      </c>
      <c r="E10">
        <v>23.815023850677971</v>
      </c>
      <c r="F10">
        <f t="shared" si="1"/>
        <v>462.04529895520699</v>
      </c>
      <c r="G10">
        <f t="shared" si="5"/>
        <v>3.1157215375579111E-2</v>
      </c>
      <c r="H10">
        <f t="shared" si="6"/>
        <v>5964.1030740550905</v>
      </c>
      <c r="I10">
        <f t="shared" si="2"/>
        <v>5693.2128193033132</v>
      </c>
      <c r="J10">
        <f t="shared" si="3"/>
        <v>484.02999770324243</v>
      </c>
      <c r="K10" s="3">
        <v>182195458400.58688</v>
      </c>
      <c r="L10">
        <f t="shared" si="4"/>
        <v>458.52166940875134</v>
      </c>
    </row>
    <row r="11" spans="1:12" x14ac:dyDescent="0.3">
      <c r="A11" t="s">
        <v>17</v>
      </c>
      <c r="B11" s="3">
        <v>800534479623.61047</v>
      </c>
      <c r="C11">
        <v>409617771</v>
      </c>
      <c r="D11">
        <f t="shared" si="0"/>
        <v>1954.3450902270802</v>
      </c>
      <c r="E11">
        <v>24.313183390376373</v>
      </c>
      <c r="F11">
        <f t="shared" si="1"/>
        <v>475.16350586772666</v>
      </c>
      <c r="G11">
        <f t="shared" si="5"/>
        <v>3.0863369631647299E-2</v>
      </c>
      <c r="H11">
        <f t="shared" si="6"/>
        <v>5956.9891085242562</v>
      </c>
      <c r="I11">
        <f t="shared" si="2"/>
        <v>5876.1279431244848</v>
      </c>
      <c r="J11">
        <f t="shared" si="3"/>
        <v>481.70221217429412</v>
      </c>
      <c r="K11" s="3">
        <v>172127853915.33905</v>
      </c>
      <c r="L11">
        <f t="shared" si="4"/>
        <v>420.21578676902436</v>
      </c>
    </row>
    <row r="12" spans="1:12" x14ac:dyDescent="0.3">
      <c r="A12" t="s">
        <v>18</v>
      </c>
      <c r="B12" s="3">
        <v>839151992864.81152</v>
      </c>
      <c r="C12">
        <v>418764922</v>
      </c>
      <c r="D12">
        <f t="shared" si="0"/>
        <v>2003.8736502977954</v>
      </c>
      <c r="E12">
        <v>24.091692683460707</v>
      </c>
      <c r="F12">
        <f t="shared" si="1"/>
        <v>482.76708159459093</v>
      </c>
      <c r="G12">
        <f t="shared" si="5"/>
        <v>2.2330942765664333E-2</v>
      </c>
      <c r="H12">
        <f t="shared" si="6"/>
        <v>6008.8815518544934</v>
      </c>
      <c r="I12">
        <f t="shared" si="2"/>
        <v>6674.4198697733773</v>
      </c>
      <c r="J12">
        <f t="shared" si="3"/>
        <v>434.62806761284367</v>
      </c>
      <c r="K12" s="3">
        <v>179987866139.58847</v>
      </c>
      <c r="L12">
        <f t="shared" si="4"/>
        <v>429.80645389297547</v>
      </c>
    </row>
    <row r="13" spans="1:12" x14ac:dyDescent="0.3">
      <c r="A13" t="s">
        <v>19</v>
      </c>
      <c r="B13" s="3">
        <v>871073127580.09033</v>
      </c>
      <c r="C13">
        <v>427829074</v>
      </c>
      <c r="D13">
        <f t="shared" si="0"/>
        <v>2036.0306966423941</v>
      </c>
      <c r="E13">
        <v>25.656258174668196</v>
      </c>
      <c r="F13">
        <f t="shared" si="1"/>
        <v>522.36929204606804</v>
      </c>
      <c r="G13">
        <f t="shared" si="5"/>
        <v>2.1644964809158489E-2</v>
      </c>
      <c r="H13">
        <f t="shared" si="6"/>
        <v>6100.7447365755443</v>
      </c>
      <c r="I13">
        <f t="shared" si="2"/>
        <v>7291.0817031944816</v>
      </c>
      <c r="J13">
        <f t="shared" si="3"/>
        <v>437.08764196161377</v>
      </c>
      <c r="K13" s="3">
        <v>193595669469.03018</v>
      </c>
      <c r="L13">
        <f t="shared" si="4"/>
        <v>452.50704366349396</v>
      </c>
    </row>
    <row r="14" spans="1:12" x14ac:dyDescent="0.3">
      <c r="A14" t="s">
        <v>20</v>
      </c>
      <c r="B14" s="3">
        <v>939542798342.0022</v>
      </c>
      <c r="C14">
        <v>436753652</v>
      </c>
      <c r="D14">
        <f t="shared" si="0"/>
        <v>2151.1962041750762</v>
      </c>
      <c r="E14">
        <v>27.620032477548108</v>
      </c>
      <c r="F14">
        <f t="shared" si="1"/>
        <v>594.16109024893808</v>
      </c>
      <c r="G14">
        <f t="shared" si="5"/>
        <v>2.0860148462000037E-2</v>
      </c>
      <c r="H14">
        <f t="shared" si="6"/>
        <v>6262.6061490619741</v>
      </c>
      <c r="I14">
        <f t="shared" si="2"/>
        <v>8384.9822946330278</v>
      </c>
      <c r="J14">
        <f t="shared" si="3"/>
        <v>443.7692014815658</v>
      </c>
      <c r="K14" s="3">
        <v>223998857286.13235</v>
      </c>
      <c r="L14">
        <f t="shared" si="4"/>
        <v>512.87231660316456</v>
      </c>
    </row>
    <row r="15" spans="1:12" x14ac:dyDescent="0.3">
      <c r="A15" t="s">
        <v>21</v>
      </c>
      <c r="B15" s="3">
        <v>1013982178697.2437</v>
      </c>
      <c r="C15">
        <v>445825854</v>
      </c>
      <c r="D15">
        <f t="shared" si="0"/>
        <v>2274.3907056974845</v>
      </c>
      <c r="E15">
        <v>31.243749712313694</v>
      </c>
      <c r="F15">
        <f t="shared" si="1"/>
        <v>710.60493956824723</v>
      </c>
      <c r="G15">
        <f t="shared" si="5"/>
        <v>2.077189728913818E-2</v>
      </c>
      <c r="H15">
        <f t="shared" si="6"/>
        <v>6529.9945694864819</v>
      </c>
      <c r="I15">
        <f t="shared" si="2"/>
        <v>10040.778427418369</v>
      </c>
      <c r="J15">
        <f t="shared" si="3"/>
        <v>462.1401049703274</v>
      </c>
      <c r="K15" s="3">
        <v>280268044822.1167</v>
      </c>
      <c r="L15">
        <f t="shared" si="4"/>
        <v>628.64915147365298</v>
      </c>
    </row>
    <row r="16" spans="1:12" x14ac:dyDescent="0.3">
      <c r="A16" t="s">
        <v>22</v>
      </c>
      <c r="B16" s="3">
        <v>1094324353140.5233</v>
      </c>
      <c r="C16">
        <v>454832471</v>
      </c>
      <c r="D16">
        <f t="shared" si="0"/>
        <v>2405.9943449827338</v>
      </c>
      <c r="E16">
        <v>32.255129867280971</v>
      </c>
      <c r="F16">
        <f t="shared" si="1"/>
        <v>776.05660057361683</v>
      </c>
      <c r="G16">
        <f t="shared" si="5"/>
        <v>2.0202096668893499E-2</v>
      </c>
      <c r="H16">
        <f t="shared" si="6"/>
        <v>6847.631860045658</v>
      </c>
      <c r="I16">
        <f t="shared" si="2"/>
        <v>11054.607161291337</v>
      </c>
      <c r="J16">
        <f t="shared" si="3"/>
        <v>480.7181137919203</v>
      </c>
      <c r="K16" s="3">
        <v>326437701681.98749</v>
      </c>
      <c r="L16">
        <f t="shared" si="4"/>
        <v>717.70975577948013</v>
      </c>
    </row>
    <row r="17" spans="1:12" x14ac:dyDescent="0.3">
      <c r="A17" t="s">
        <v>23</v>
      </c>
      <c r="B17" s="3">
        <v>1182534912713.8003</v>
      </c>
      <c r="C17">
        <v>457611460</v>
      </c>
      <c r="D17">
        <f t="shared" si="0"/>
        <v>2584.1461940524837</v>
      </c>
      <c r="E17">
        <v>34.087584126663337</v>
      </c>
      <c r="F17">
        <f t="shared" si="1"/>
        <v>880.87300785360912</v>
      </c>
      <c r="G17">
        <f t="shared" si="5"/>
        <v>6.1099177767367447E-3</v>
      </c>
      <c r="H17">
        <f t="shared" si="6"/>
        <v>7344.2848072667421</v>
      </c>
      <c r="I17">
        <f t="shared" si="2"/>
        <v>15699.06074998421</v>
      </c>
      <c r="J17">
        <f t="shared" si="3"/>
        <v>412.0872166646738</v>
      </c>
      <c r="K17" s="3">
        <v>377200114509.37634</v>
      </c>
      <c r="L17">
        <f t="shared" si="4"/>
        <v>824.28030650582116</v>
      </c>
    </row>
    <row r="18" spans="1:12" x14ac:dyDescent="0.3">
      <c r="A18" t="s">
        <v>24</v>
      </c>
      <c r="B18" s="3">
        <v>1273126725479.6411</v>
      </c>
      <c r="C18">
        <v>460225575</v>
      </c>
      <c r="D18">
        <f t="shared" si="0"/>
        <v>2766.3102500977725</v>
      </c>
      <c r="E18">
        <v>34.377373196054059</v>
      </c>
      <c r="F18">
        <f t="shared" si="1"/>
        <v>950.98479843680764</v>
      </c>
      <c r="G18">
        <f t="shared" si="5"/>
        <v>5.7125208359073872E-3</v>
      </c>
      <c r="H18">
        <f t="shared" si="6"/>
        <v>7886.1009853538635</v>
      </c>
      <c r="I18">
        <f t="shared" si="2"/>
        <v>17069.498636361946</v>
      </c>
      <c r="J18">
        <f t="shared" si="3"/>
        <v>439.35456546059692</v>
      </c>
      <c r="K18" s="3">
        <v>442914842532.05939</v>
      </c>
      <c r="L18">
        <f t="shared" si="4"/>
        <v>962.3864178605445</v>
      </c>
    </row>
    <row r="19" spans="1:12" x14ac:dyDescent="0.3">
      <c r="A19" t="s">
        <v>25</v>
      </c>
      <c r="B19" s="3">
        <v>1312424303406.4299</v>
      </c>
      <c r="C19">
        <v>462536166</v>
      </c>
      <c r="D19">
        <f t="shared" si="0"/>
        <v>2837.4522899608892</v>
      </c>
      <c r="E19">
        <v>32.784702862024147</v>
      </c>
      <c r="F19">
        <f t="shared" si="1"/>
        <v>930.25030211537728</v>
      </c>
      <c r="G19">
        <f t="shared" si="5"/>
        <v>5.0205619277025187E-3</v>
      </c>
      <c r="H19">
        <f t="shared" si="6"/>
        <v>8382.4535798364632</v>
      </c>
      <c r="I19">
        <f t="shared" si="2"/>
        <v>16907.321000060558</v>
      </c>
      <c r="J19">
        <f t="shared" si="3"/>
        <v>461.20730629548382</v>
      </c>
      <c r="K19" s="3">
        <v>431432223229.21857</v>
      </c>
      <c r="L19">
        <f t="shared" si="4"/>
        <v>932.75349030592031</v>
      </c>
    </row>
    <row r="20" spans="1:12" x14ac:dyDescent="0.3">
      <c r="A20" t="s">
        <v>26</v>
      </c>
      <c r="B20" s="3">
        <v>1415605643155.6904</v>
      </c>
      <c r="C20">
        <v>464953334</v>
      </c>
      <c r="D20">
        <f t="shared" si="0"/>
        <v>3044.6187598596516</v>
      </c>
      <c r="E20">
        <v>32.580444115179645</v>
      </c>
      <c r="F20">
        <f t="shared" si="1"/>
        <v>991.95031357634946</v>
      </c>
      <c r="G20">
        <f t="shared" si="5"/>
        <v>5.225900540715772E-3</v>
      </c>
      <c r="H20">
        <f t="shared" si="6"/>
        <v>8911.4753457255956</v>
      </c>
      <c r="I20">
        <f t="shared" si="2"/>
        <v>17961.686525057667</v>
      </c>
      <c r="J20">
        <f t="shared" si="3"/>
        <v>492.14425111408246</v>
      </c>
      <c r="K20" s="3">
        <v>490023707633.36725</v>
      </c>
      <c r="L20">
        <f t="shared" si="4"/>
        <v>1053.9201932754981</v>
      </c>
    </row>
    <row r="21" spans="1:12" x14ac:dyDescent="0.3">
      <c r="A21" t="s">
        <v>27</v>
      </c>
      <c r="B21" s="3">
        <v>1535897931732.1433</v>
      </c>
      <c r="C21">
        <v>467561989</v>
      </c>
      <c r="D21">
        <f t="shared" si="0"/>
        <v>3284.9076012724022</v>
      </c>
      <c r="E21">
        <v>34.267534370570061</v>
      </c>
      <c r="F21">
        <f t="shared" si="1"/>
        <v>1125.656841307489</v>
      </c>
      <c r="G21">
        <f t="shared" si="5"/>
        <v>5.6105738129839933E-3</v>
      </c>
      <c r="H21">
        <f t="shared" si="6"/>
        <v>9541.5599295370248</v>
      </c>
      <c r="I21">
        <f t="shared" si="2"/>
        <v>20241.777132043724</v>
      </c>
      <c r="J21">
        <f t="shared" si="3"/>
        <v>530.61162275252912</v>
      </c>
      <c r="K21" s="3">
        <v>565496666424.61096</v>
      </c>
      <c r="L21">
        <f t="shared" si="4"/>
        <v>1209.4581675342538</v>
      </c>
    </row>
    <row r="22" spans="1:12" x14ac:dyDescent="0.3">
      <c r="A22" t="s">
        <v>28</v>
      </c>
      <c r="B22" s="3">
        <v>1616399198833.9158</v>
      </c>
      <c r="C22">
        <v>471891929</v>
      </c>
      <c r="D22">
        <f t="shared" si="0"/>
        <v>3425.3588576080856</v>
      </c>
      <c r="E22">
        <v>32.708319830057036</v>
      </c>
      <c r="F22">
        <f t="shared" si="1"/>
        <v>1120.3773304736405</v>
      </c>
      <c r="G22">
        <f t="shared" si="5"/>
        <v>9.2606758074168429E-3</v>
      </c>
      <c r="H22">
        <f t="shared" si="6"/>
        <v>10096.497970329332</v>
      </c>
      <c r="I22">
        <f t="shared" si="2"/>
        <v>18905.915520008602</v>
      </c>
      <c r="J22">
        <f t="shared" si="3"/>
        <v>598.32529300992871</v>
      </c>
      <c r="K22" s="3">
        <v>596454177069.73254</v>
      </c>
      <c r="L22">
        <f t="shared" si="4"/>
        <v>1263.9635060800808</v>
      </c>
    </row>
    <row r="23" spans="1:12" x14ac:dyDescent="0.3">
      <c r="A23" t="s">
        <v>29</v>
      </c>
      <c r="B23" s="3">
        <v>1704596203504.3164</v>
      </c>
      <c r="C23">
        <v>476101422</v>
      </c>
      <c r="D23">
        <f t="shared" si="0"/>
        <v>3580.3215969061239</v>
      </c>
      <c r="E23">
        <v>32.855189978847768</v>
      </c>
      <c r="F23">
        <f t="shared" si="1"/>
        <v>1176.3214625172232</v>
      </c>
      <c r="G23">
        <f t="shared" si="5"/>
        <v>8.9204598368962575E-3</v>
      </c>
      <c r="H23">
        <f t="shared" si="6"/>
        <v>10677.92912969246</v>
      </c>
      <c r="I23">
        <f t="shared" si="2"/>
        <v>19964.566905511576</v>
      </c>
      <c r="J23">
        <f t="shared" si="3"/>
        <v>629.14849442726927</v>
      </c>
      <c r="K23" s="3">
        <v>622066330779.82703</v>
      </c>
      <c r="L23">
        <f t="shared" si="4"/>
        <v>1306.5836438098836</v>
      </c>
    </row>
    <row r="24" spans="1:12" x14ac:dyDescent="0.3">
      <c r="A24" t="s">
        <v>30</v>
      </c>
      <c r="B24" s="3">
        <v>1813453530766.6265</v>
      </c>
      <c r="C24">
        <v>484466830</v>
      </c>
      <c r="D24">
        <f t="shared" si="0"/>
        <v>3743.1944118168553</v>
      </c>
      <c r="E24">
        <v>32.059073767199806</v>
      </c>
      <c r="F24">
        <f t="shared" si="1"/>
        <v>1200.0334577340664</v>
      </c>
      <c r="G24">
        <f t="shared" si="5"/>
        <v>1.7570642752669619E-2</v>
      </c>
      <c r="H24">
        <f t="shared" si="6"/>
        <v>11156.448052865751</v>
      </c>
      <c r="I24">
        <f t="shared" si="2"/>
        <v>17759.686882461316</v>
      </c>
      <c r="J24">
        <f t="shared" si="3"/>
        <v>753.84836576890825</v>
      </c>
      <c r="K24" s="3">
        <v>599008478183.18787</v>
      </c>
      <c r="L24">
        <f t="shared" si="4"/>
        <v>1236.4282569834304</v>
      </c>
    </row>
    <row r="25" spans="1:12" x14ac:dyDescent="0.3">
      <c r="A25" t="s">
        <v>31</v>
      </c>
      <c r="B25" s="3">
        <v>1947834564908.9478</v>
      </c>
      <c r="C25">
        <v>492680645</v>
      </c>
      <c r="D25">
        <f t="shared" si="0"/>
        <v>3953.543912627109</v>
      </c>
      <c r="E25">
        <v>31.431426090568337</v>
      </c>
      <c r="F25">
        <f t="shared" si="1"/>
        <v>1242.6552328555533</v>
      </c>
      <c r="G25">
        <f t="shared" si="5"/>
        <v>1.695433926818065E-2</v>
      </c>
      <c r="H25">
        <f t="shared" si="6"/>
        <v>11652.130677761897</v>
      </c>
      <c r="I25">
        <f t="shared" si="2"/>
        <v>18559.741555781617</v>
      </c>
      <c r="J25">
        <f t="shared" si="3"/>
        <v>780.16071059604576</v>
      </c>
      <c r="K25" s="3">
        <v>645093927597.31311</v>
      </c>
      <c r="L25">
        <f t="shared" si="4"/>
        <v>1309.3551251588401</v>
      </c>
    </row>
    <row r="26" spans="1:12" x14ac:dyDescent="0.3">
      <c r="A26" t="s">
        <v>32</v>
      </c>
      <c r="B26" s="3">
        <v>2103588360044.9392</v>
      </c>
      <c r="C26">
        <v>500640619</v>
      </c>
      <c r="D26">
        <f t="shared" si="0"/>
        <v>4201.7932229444996</v>
      </c>
      <c r="E26">
        <v>30.564428213006799</v>
      </c>
      <c r="F26">
        <f t="shared" si="1"/>
        <v>1284.2540732858563</v>
      </c>
      <c r="G26">
        <f t="shared" si="5"/>
        <v>1.6156457698881188E-2</v>
      </c>
      <c r="H26">
        <f t="shared" si="6"/>
        <v>12165.521060762563</v>
      </c>
      <c r="I26">
        <f t="shared" si="2"/>
        <v>19412.376628919403</v>
      </c>
      <c r="J26">
        <f t="shared" si="3"/>
        <v>804.82777944118675</v>
      </c>
      <c r="K26" s="3">
        <v>675603796764.31482</v>
      </c>
      <c r="L26">
        <f t="shared" si="4"/>
        <v>1349.4785902785784</v>
      </c>
    </row>
    <row r="27" spans="1:12" x14ac:dyDescent="0.3">
      <c r="A27" t="s">
        <v>33</v>
      </c>
      <c r="B27" s="3">
        <v>2277267041550.3618</v>
      </c>
      <c r="C27">
        <v>508681288</v>
      </c>
      <c r="D27">
        <f t="shared" si="0"/>
        <v>4476.8052123638599</v>
      </c>
      <c r="E27">
        <v>30.396170692470641</v>
      </c>
      <c r="F27">
        <f t="shared" si="1"/>
        <v>1360.7773539195416</v>
      </c>
      <c r="G27">
        <f t="shared" si="5"/>
        <v>1.6060760343538965E-2</v>
      </c>
      <c r="H27">
        <f t="shared" si="6"/>
        <v>12722.634843432794</v>
      </c>
      <c r="I27">
        <f t="shared" si="2"/>
        <v>20598.875139235839</v>
      </c>
      <c r="J27">
        <f t="shared" si="3"/>
        <v>840.46693133037229</v>
      </c>
      <c r="K27" s="3">
        <v>700429318211.37256</v>
      </c>
      <c r="L27">
        <f t="shared" si="4"/>
        <v>1376.9512162817607</v>
      </c>
    </row>
    <row r="28" spans="1:12" x14ac:dyDescent="0.3">
      <c r="A28" t="s">
        <v>34</v>
      </c>
      <c r="B28" s="3">
        <v>2432016068497.7515</v>
      </c>
      <c r="C28">
        <v>516713963</v>
      </c>
      <c r="D28">
        <f t="shared" si="0"/>
        <v>4706.697017393647</v>
      </c>
      <c r="E28">
        <v>30.507651368953443</v>
      </c>
      <c r="F28">
        <f t="shared" si="1"/>
        <v>1435.9027170593838</v>
      </c>
      <c r="G28">
        <f t="shared" si="5"/>
        <v>1.5791174532057882E-2</v>
      </c>
      <c r="H28">
        <f t="shared" si="6"/>
        <v>13321.500471000249</v>
      </c>
      <c r="I28">
        <f t="shared" si="2"/>
        <v>21825.157055977405</v>
      </c>
      <c r="J28">
        <f t="shared" si="3"/>
        <v>876.43716251646856</v>
      </c>
      <c r="K28" s="3">
        <v>776329868853.04895</v>
      </c>
      <c r="L28">
        <f t="shared" si="4"/>
        <v>1502.4364047484603</v>
      </c>
    </row>
    <row r="29" spans="1:12" x14ac:dyDescent="0.3">
      <c r="A29" t="s">
        <v>35</v>
      </c>
      <c r="B29" s="3">
        <v>2588974770244.5674</v>
      </c>
      <c r="C29">
        <v>524292869</v>
      </c>
      <c r="D29">
        <f t="shared" si="0"/>
        <v>4938.0316295024177</v>
      </c>
      <c r="E29">
        <v>29.888458661754807</v>
      </c>
      <c r="F29">
        <f t="shared" si="1"/>
        <v>1475.9015422882073</v>
      </c>
      <c r="G29">
        <f t="shared" si="5"/>
        <v>1.4667507640005463E-2</v>
      </c>
      <c r="H29">
        <f t="shared" si="6"/>
        <v>13935.93377980371</v>
      </c>
      <c r="I29">
        <f t="shared" si="2"/>
        <v>22822.922919873996</v>
      </c>
      <c r="J29">
        <f t="shared" si="3"/>
        <v>901.20210417606665</v>
      </c>
      <c r="K29" s="3">
        <v>861374738444.07678</v>
      </c>
      <c r="L29">
        <f t="shared" si="4"/>
        <v>1642.9266720468722</v>
      </c>
    </row>
    <row r="30" spans="1:12" x14ac:dyDescent="0.3">
      <c r="A30" t="s">
        <v>36</v>
      </c>
      <c r="B30" s="3">
        <v>2689205295885.3105</v>
      </c>
      <c r="C30">
        <v>531373378</v>
      </c>
      <c r="D30">
        <f t="shared" si="0"/>
        <v>5060.8581596748918</v>
      </c>
      <c r="E30">
        <v>28.086036848578189</v>
      </c>
      <c r="F30">
        <f t="shared" si="1"/>
        <v>1421.3944875805662</v>
      </c>
      <c r="G30">
        <f t="shared" si="5"/>
        <v>1.3504873742618079E-2</v>
      </c>
      <c r="H30">
        <f t="shared" si="6"/>
        <v>14472.328552212355</v>
      </c>
      <c r="I30">
        <f t="shared" si="2"/>
        <v>22382.447264463564</v>
      </c>
      <c r="J30">
        <f t="shared" si="3"/>
        <v>919.0633974699324</v>
      </c>
      <c r="K30" s="3">
        <v>839070059893.91187</v>
      </c>
      <c r="L30">
        <f t="shared" si="4"/>
        <v>1579.0592728827146</v>
      </c>
    </row>
    <row r="31" spans="1:12" x14ac:dyDescent="0.3">
      <c r="A31" t="s">
        <v>37</v>
      </c>
      <c r="B31" s="3">
        <v>2533830417086.542</v>
      </c>
      <c r="C31">
        <v>532528354</v>
      </c>
      <c r="D31">
        <f t="shared" si="0"/>
        <v>4758.1136254137218</v>
      </c>
      <c r="E31">
        <v>27.289418879087656</v>
      </c>
      <c r="F31">
        <f t="shared" si="1"/>
        <v>1298.4615579820943</v>
      </c>
      <c r="G31">
        <f t="shared" si="5"/>
        <v>2.1735676791847106E-3</v>
      </c>
      <c r="H31">
        <f t="shared" si="6"/>
        <v>15015.717097000201</v>
      </c>
      <c r="I31">
        <f t="shared" si="2"/>
        <v>24887.344602660392</v>
      </c>
      <c r="J31">
        <f t="shared" si="3"/>
        <v>783.423532211831</v>
      </c>
      <c r="K31" s="3">
        <v>777042897807.48853</v>
      </c>
      <c r="L31">
        <f t="shared" si="4"/>
        <v>1459.1577931406982</v>
      </c>
    </row>
    <row r="32" spans="1:12" x14ac:dyDescent="0.3">
      <c r="A32" t="s">
        <v>38</v>
      </c>
      <c r="B32" s="3">
        <v>2779348258938.7666</v>
      </c>
      <c r="C32">
        <v>550352877</v>
      </c>
      <c r="D32">
        <f t="shared" si="0"/>
        <v>5050.1203411329971</v>
      </c>
      <c r="E32">
        <v>28.573242126358249</v>
      </c>
      <c r="F32">
        <f t="shared" si="1"/>
        <v>1442.9831127444004</v>
      </c>
      <c r="G32">
        <f t="shared" si="5"/>
        <v>3.3471500373856149E-2</v>
      </c>
      <c r="H32">
        <f t="shared" si="6"/>
        <v>15205.315774468629</v>
      </c>
      <c r="I32">
        <f t="shared" si="2"/>
        <v>17287.135205207749</v>
      </c>
      <c r="J32">
        <f t="shared" si="3"/>
        <v>1269.2105213531588</v>
      </c>
      <c r="K32" s="3">
        <v>941145816331.07458</v>
      </c>
      <c r="L32">
        <f t="shared" si="4"/>
        <v>1710.0770354128167</v>
      </c>
    </row>
    <row r="33" spans="1:12" x14ac:dyDescent="0.3">
      <c r="A33" t="s">
        <v>39</v>
      </c>
      <c r="B33" s="3">
        <v>2990839011962.4609</v>
      </c>
      <c r="C33">
        <v>569155867</v>
      </c>
      <c r="D33">
        <f t="shared" si="0"/>
        <v>5254.8681044562809</v>
      </c>
      <c r="E33">
        <v>28.281327746390616</v>
      </c>
      <c r="F33">
        <f t="shared" si="1"/>
        <v>1486.1464712618247</v>
      </c>
      <c r="G33">
        <f t="shared" si="5"/>
        <v>3.4165334253353961E-2</v>
      </c>
      <c r="H33">
        <f t="shared" si="6"/>
        <v>15411.701761144504</v>
      </c>
      <c r="I33">
        <f t="shared" si="2"/>
        <v>17657.465326380527</v>
      </c>
      <c r="J33">
        <f t="shared" si="3"/>
        <v>1297.1310301397311</v>
      </c>
      <c r="K33" s="3">
        <v>1012622503492.9941</v>
      </c>
      <c r="L33">
        <f t="shared" si="4"/>
        <v>1779.1655365523873</v>
      </c>
    </row>
    <row r="34" spans="1:12" x14ac:dyDescent="0.3">
      <c r="A34" t="s">
        <v>40</v>
      </c>
      <c r="B34" s="3">
        <v>3265719695911.2417</v>
      </c>
      <c r="C34">
        <v>589486854</v>
      </c>
      <c r="D34">
        <f t="shared" si="0"/>
        <v>5539.9364273376004</v>
      </c>
      <c r="E34">
        <v>29.506488955632015</v>
      </c>
      <c r="F34">
        <f t="shared" si="1"/>
        <v>1634.6407300814039</v>
      </c>
      <c r="G34">
        <f t="shared" si="5"/>
        <v>3.5721299170935195E-2</v>
      </c>
      <c r="H34">
        <f t="shared" si="6"/>
        <v>15725.23139382561</v>
      </c>
      <c r="I34">
        <f t="shared" si="2"/>
        <v>19069.248201917686</v>
      </c>
      <c r="J34">
        <f t="shared" si="3"/>
        <v>1347.9872648423075</v>
      </c>
      <c r="K34" s="3">
        <v>1119187833745.6565</v>
      </c>
      <c r="L34">
        <f t="shared" si="4"/>
        <v>1898.5798006373464</v>
      </c>
    </row>
    <row r="35" spans="1:12" x14ac:dyDescent="0.3">
      <c r="A35" t="s">
        <v>41</v>
      </c>
      <c r="B35" s="3">
        <v>3477820532826.479</v>
      </c>
      <c r="C35">
        <v>608500805</v>
      </c>
      <c r="D35">
        <f t="shared" si="0"/>
        <v>5715.3918355563701</v>
      </c>
      <c r="E35">
        <v>28.627590945519703</v>
      </c>
      <c r="F35">
        <f t="shared" si="1"/>
        <v>1636.1789956167079</v>
      </c>
      <c r="G35">
        <f t="shared" si="5"/>
        <v>3.2255089101613794E-2</v>
      </c>
      <c r="H35">
        <f t="shared" si="6"/>
        <v>16067.930079999698</v>
      </c>
      <c r="I35">
        <f t="shared" si="2"/>
        <v>19891.522986443484</v>
      </c>
      <c r="J35">
        <f t="shared" si="3"/>
        <v>1321.6690204088759</v>
      </c>
      <c r="K35" s="3">
        <v>1193869010307.8137</v>
      </c>
      <c r="L35">
        <f t="shared" si="4"/>
        <v>1961.9842742982298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Kumar</dc:creator>
  <cp:lastModifiedBy>Niranjan Kumar</cp:lastModifiedBy>
  <cp:lastPrinted>2026-04-17T14:16:31Z</cp:lastPrinted>
  <dcterms:created xsi:type="dcterms:W3CDTF">2026-04-16T09:55:11Z</dcterms:created>
  <dcterms:modified xsi:type="dcterms:W3CDTF">2026-04-17T14:16:39Z</dcterms:modified>
</cp:coreProperties>
</file>